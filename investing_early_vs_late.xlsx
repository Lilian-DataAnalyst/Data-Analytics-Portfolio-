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SP500 Returns" sheetId="1" r:id="rId1"/>
    <sheet name="Investor A - Early Start" sheetId="2" r:id="rId2"/>
    <sheet name="Investor B - Late Start" sheetId="3" r:id="rId3"/>
    <sheet name="Summary" sheetId="4" r:id="rId4"/>
  </sheets>
  <calcPr iterateDelta="1.0E-4"/>
</workbook>
</file>

<file path=xl/sharedStrings.xml><?xml version="1.0" encoding="utf-8"?>
<sst xmlns="http://schemas.openxmlformats.org/spreadsheetml/2006/main" uniqueCount="33" count="33">
  <si>
    <t>S&amp;P 500 Historical Annual Total Returns (1995–2024)</t>
  </si>
  <si>
    <t>Total return = price return + dividends reinvested</t>
  </si>
  <si>
    <t>Year</t>
  </si>
  <si>
    <t>Total Return (%)</t>
  </si>
  <si>
    <t>Average annual return:</t>
  </si>
  <si>
    <t>Best year:</t>
  </si>
  <si>
    <t>Worst year:</t>
  </si>
  <si>
    <t>Source: Slickcharts, "S&amp;P 500 Total Returns by Year" (slickcharts.com/sp500/returns/details), data via S&amp;P Dow Jones Indices.</t>
  </si>
  <si>
    <t>Investor A: Starts Investing Early</t>
  </si>
  <si>
    <t>Invests $200/month ($2,400/year) starting in 1995, for 30 years</t>
  </si>
  <si>
    <t>Annual contribution:</t>
  </si>
  <si>
    <t>S&amp;P 500 Return</t>
  </si>
  <si>
    <t>Contribution</t>
  </si>
  <si>
    <t>Start Balance</t>
  </si>
  <si>
    <t>End Balance</t>
  </si>
  <si>
    <t>Total contributed:</t>
  </si>
  <si>
    <t>Final balance (end of 2024):</t>
  </si>
  <si>
    <t>Growth from compounding:</t>
  </si>
  <si>
    <t>Investor B: Starts Investing 10 Years Later</t>
  </si>
  <si>
    <t>Invests $300/month ($3,600/year) starting in 2005, for 20 years</t>
  </si>
  <si>
    <t>Does Starting Early Beat Starting Late?</t>
  </si>
  <si>
    <t>Question: Does starting to invest earlier significantly outperform starting later, even with smaller total contributions, when investing in the S&amp;P 500?</t>
  </si>
  <si>
    <t>Investor A (Early)</t>
  </si>
  <si>
    <t>Investor B (Late)</t>
  </si>
  <si>
    <t>Start year</t>
  </si>
  <si>
    <t>Years investing</t>
  </si>
  <si>
    <t>Monthly contribution</t>
  </si>
  <si>
    <t>Total contributed</t>
  </si>
  <si>
    <t>Final balance (end of 2024)</t>
  </si>
  <si>
    <t>Growth from compounding</t>
  </si>
  <si>
    <t>Difference (A minus B):</t>
  </si>
  <si>
    <t>Investor A Balance</t>
  </si>
  <si>
    <t>Investor B Balance</t>
  </si>
</sst>
</file>

<file path=xl/styles.xml><?xml version="1.0" encoding="utf-8"?>
<styleSheet xmlns="http://schemas.openxmlformats.org/spreadsheetml/2006/main">
  <numFmts count="4">
    <numFmt numFmtId="0" formatCode="General"/>
    <numFmt numFmtId="1" formatCode="0"/>
    <numFmt numFmtId="164" formatCode="0.0%"/>
    <numFmt numFmtId="165" formatCode="\$#,##0"/>
  </numFmts>
  <fonts count="8">
    <font>
      <name val="Calibri"/>
      <sz val="11"/>
    </font>
    <font>
      <name val="Arial"/>
      <b/>
      <charset val="1"/>
      <sz val="14"/>
    </font>
    <font>
      <name val="Arial"/>
      <i/>
      <charset val="1"/>
      <sz val="10"/>
      <color rgb="FF555555"/>
    </font>
    <font>
      <name val="Arial"/>
      <b/>
      <charset val="1"/>
      <sz val="11"/>
      <color rgb="FFFFFFFF"/>
    </font>
    <font>
      <name val="Arial"/>
      <charset val="1"/>
      <sz val="11"/>
      <color rgb="FF0000FF"/>
    </font>
    <font>
      <name val="Arial"/>
      <b/>
      <charset val="1"/>
      <sz val="11"/>
    </font>
    <font>
      <name val="Arial"/>
      <charset val="1"/>
      <sz val="11"/>
      <color rgb="FF000000"/>
    </font>
    <font>
      <name val="Arial"/>
      <charset val="1"/>
      <sz val="11"/>
      <color rgb="FF008000"/>
    </font>
  </fonts>
  <fills count="4">
    <fill>
      <patternFill patternType="none"/>
    </fill>
    <fill>
      <patternFill patternType="gray125"/>
    </fill>
    <fill>
      <patternFill patternType="solid">
        <fgColor rgb="FF0D274D"/>
        <bgColor rgb="FF00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2" borderId="1" xfId="0" applyFont="1" applyBorder="1" applyAlignment="1">
      <alignment horizontal="center" vertical="bottom"/>
    </xf>
    <xf numFmtId="1" fontId="4" fillId="0" borderId="1" xfId="0" applyFont="1" applyBorder="1" applyAlignment="1">
      <alignment horizontal="center" vertical="bottom"/>
    </xf>
    <xf numFmtId="164" fontId="4" fillId="0" borderId="1" xfId="0" applyFont="1" applyBorder="1" applyAlignment="1">
      <alignment horizontal="center" vertical="bottom"/>
    </xf>
    <xf numFmtId="0" fontId="5" fillId="0" borderId="0" xfId="0" applyFont="1" applyAlignment="1">
      <alignment vertical="bottom"/>
    </xf>
    <xf numFmtId="164" fontId="6" fillId="0" borderId="0" xfId="0" applyFont="1" applyAlignment="1">
      <alignment vertical="bottom"/>
    </xf>
    <xf numFmtId="165" fontId="4" fillId="3" borderId="0" xfId="0" applyFont="1" applyAlignment="1">
      <alignment vertical="bottom"/>
    </xf>
    <xf numFmtId="1" fontId="7" fillId="0" borderId="1" xfId="0" applyFont="1" applyBorder="1" applyAlignment="1">
      <alignment horizontal="center" vertical="bottom"/>
    </xf>
    <xf numFmtId="164" fontId="7" fillId="0" borderId="1" xfId="0" applyFont="1" applyBorder="1" applyAlignment="1">
      <alignment horizontal="center" vertical="bottom"/>
    </xf>
    <xf numFmtId="165" fontId="6" fillId="0" borderId="1" xfId="0" applyFont="1" applyBorder="1" applyAlignment="1">
      <alignment vertical="bottom"/>
    </xf>
    <xf numFmtId="165" fontId="4" fillId="0" borderId="1" xfId="0" applyFont="1" applyBorder="1" applyAlignment="1">
      <alignment vertical="bottom"/>
    </xf>
    <xf numFmtId="165" fontId="6" fillId="0" borderId="0" xfId="0" applyFont="1" applyAlignment="1">
      <alignment vertical="bottom"/>
    </xf>
    <xf numFmtId="0" fontId="2" fillId="0" borderId="0" xfId="0" applyFont="1" applyBorder="1" applyAlignment="1">
      <alignment vertical="bottom" wrapText="1"/>
    </xf>
    <xf numFmtId="0" fontId="5" fillId="0" borderId="1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65" fontId="7" fillId="0" borderId="1" xfId="0" applyFont="1" applyBorder="1" applyAlignment="1">
      <alignment vertical="bottom"/>
    </xf>
    <xf numFmtId="0" fontId="6" fillId="0" borderId="0" xfId="0" applyFont="1" applyAlignment="1">
      <alignment vertical="bottom"/>
    </xf>
    <xf numFmtId="165" fontId="7" fillId="0" borderId="0" xfId="0" applyFont="1" applyAlignment="1">
      <alignment vertical="bottom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78787"/>
      <rgbColor rgb="009999FF"/>
      <rgbColor rgb="00BE4B48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A7EBB"/>
      <rgbColor rgb="00969696"/>
      <rgbColor rgb="000D274D"/>
      <rgbColor rgb="00339966"/>
      <rgbColor rgb="00003300"/>
      <rgbColor rgb="00333300"/>
      <rgbColor rgb="00993300"/>
      <rgbColor rgb="00993366"/>
      <rgbColor rgb="00333399"/>
      <rgbColor rgb="00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Portfolio Balance Over Time: Early vs. Late Start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Summary!C16</c:f>
              <c:strCache>
                <c:ptCount val="1"/>
                <c:pt idx="0">
                  <c:v>Investor A 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Summary!$B$17:$B$46</c:f>
              <c:numCache>
                <c:formatCode>General</c:formatCode>
                <c:ptCount val="30"/>
                <c:pt idx="0">
                  <c:v>1995.0</c:v>
                </c:pt>
                <c:pt idx="1">
                  <c:v>1996.0</c:v>
                </c:pt>
                <c:pt idx="2">
                  <c:v>1997.0</c:v>
                </c:pt>
                <c:pt idx="3">
                  <c:v>1998.0</c:v>
                </c:pt>
                <c:pt idx="4">
                  <c:v>1999.0</c:v>
                </c:pt>
                <c:pt idx="5">
                  <c:v>2000.0</c:v>
                </c:pt>
                <c:pt idx="6">
                  <c:v>2001.0</c:v>
                </c:pt>
                <c:pt idx="7">
                  <c:v>2002.0</c:v>
                </c:pt>
                <c:pt idx="8">
                  <c:v>2003.0</c:v>
                </c:pt>
                <c:pt idx="9">
                  <c:v>2004.0</c:v>
                </c:pt>
                <c:pt idx="10">
                  <c:v>2005.0</c:v>
                </c:pt>
                <c:pt idx="11">
                  <c:v>2006.0</c:v>
                </c:pt>
                <c:pt idx="12">
                  <c:v>2007.0</c:v>
                </c:pt>
                <c:pt idx="13">
                  <c:v>2008.0</c:v>
                </c:pt>
                <c:pt idx="14">
                  <c:v>2009.0</c:v>
                </c:pt>
                <c:pt idx="15">
                  <c:v>2010.0</c:v>
                </c:pt>
                <c:pt idx="16">
                  <c:v>2011.0</c:v>
                </c:pt>
                <c:pt idx="17">
                  <c:v>2012.0</c:v>
                </c:pt>
                <c:pt idx="18">
                  <c:v>2013.0</c:v>
                </c:pt>
                <c:pt idx="19">
                  <c:v>2014.0</c:v>
                </c:pt>
                <c:pt idx="20">
                  <c:v>2015.0</c:v>
                </c:pt>
                <c:pt idx="21">
                  <c:v>2016.0</c:v>
                </c:pt>
                <c:pt idx="22">
                  <c:v>2017.0</c:v>
                </c:pt>
                <c:pt idx="23">
                  <c:v>2018.0</c:v>
                </c:pt>
                <c:pt idx="24">
                  <c:v>2019.0</c:v>
                </c:pt>
                <c:pt idx="25">
                  <c:v>2020.0</c:v>
                </c:pt>
                <c:pt idx="26">
                  <c:v>2021.0</c:v>
                </c:pt>
                <c:pt idx="27">
                  <c:v>2022.0</c:v>
                </c:pt>
                <c:pt idx="28">
                  <c:v>2023.0</c:v>
                </c:pt>
                <c:pt idx="29">
                  <c:v>2024.0</c:v>
                </c:pt>
              </c:numCache>
            </c:numRef>
          </c:cat>
          <c:val>
            <c:numRef>
              <c:f>Summary!$C$17:$C$46</c:f>
              <c:numCache>
                <c:formatCode>\$#,##0</c:formatCode>
                <c:ptCount val="30"/>
                <c:pt idx="0">
                  <c:v>3301.92</c:v>
                </c:pt>
                <c:pt idx="1">
                  <c:v>7011.080832</c:v>
                </c:pt>
                <c:pt idx="2">
                  <c:v>12550.6173975552</c:v>
                </c:pt>
                <c:pt idx="3">
                  <c:v>19223.5038497765</c:v>
                </c:pt>
                <c:pt idx="4">
                  <c:v>26173.0890597694</c:v>
                </c:pt>
                <c:pt idx="5">
                  <c:v>25972.9379553304</c:v>
                </c:pt>
                <c:pt idx="6">
                  <c:v>24999.3956324416</c:v>
                </c:pt>
                <c:pt idx="7">
                  <c:v>21344.129197672</c:v>
                </c:pt>
                <c:pt idx="8">
                  <c:v>30553.9454515644</c:v>
                </c:pt>
                <c:pt idx="9">
                  <c:v>36539.3347166946</c:v>
                </c:pt>
                <c:pt idx="10">
                  <c:v>40851.2560512843</c:v>
                </c:pt>
                <c:pt idx="11">
                  <c:v>50080.6293817821</c:v>
                </c:pt>
                <c:pt idx="12">
                  <c:v>55361.8159348419</c:v>
                </c:pt>
                <c:pt idx="13">
                  <c:v>36389.9440389504</c:v>
                </c:pt>
                <c:pt idx="14">
                  <c:v>49053.7632316567</c:v>
                </c:pt>
                <c:pt idx="15">
                  <c:v>59202.6999743442</c:v>
                </c:pt>
                <c:pt idx="16">
                  <c:v>62902.5169438028</c:v>
                </c:pt>
                <c:pt idx="17">
                  <c:v>75750.9196548113</c:v>
                </c:pt>
                <c:pt idx="18">
                  <c:v>103464.002531005</c:v>
                </c:pt>
                <c:pt idx="19">
                  <c:v>120356.784477499</c:v>
                </c:pt>
                <c:pt idx="20">
                  <c:v>124450.828103289</c:v>
                </c:pt>
                <c:pt idx="21">
                  <c:v>142022.187144442</c:v>
                </c:pt>
                <c:pt idx="22">
                  <c:v>175949.550598074</c:v>
                </c:pt>
                <c:pt idx="23">
                  <c:v>170537.840281878</c:v>
                </c:pt>
                <c:pt idx="24">
                  <c:v>227395.966186641</c:v>
                </c:pt>
                <c:pt idx="25">
                  <c:v>272078.423964983</c:v>
                </c:pt>
                <c:pt idx="26">
                  <c:v>353281.17948533</c:v>
                </c:pt>
                <c:pt idx="27">
                  <c:v>291267.317880537</c:v>
                </c:pt>
                <c:pt idx="28">
                  <c:v>370872.45575133</c:v>
                </c:pt>
                <c:pt idx="29">
                  <c:v>466665.224180313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Summary!D16</c:f>
              <c:strCache>
                <c:ptCount val="1"/>
                <c:pt idx="0">
                  <c:v>Investor B Balance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Summary!$B$17:$B$46</c:f>
              <c:numCache>
                <c:formatCode>General</c:formatCode>
                <c:ptCount val="30"/>
                <c:pt idx="0">
                  <c:v>1995.0</c:v>
                </c:pt>
                <c:pt idx="1">
                  <c:v>1996.0</c:v>
                </c:pt>
                <c:pt idx="2">
                  <c:v>1997.0</c:v>
                </c:pt>
                <c:pt idx="3">
                  <c:v>1998.0</c:v>
                </c:pt>
                <c:pt idx="4">
                  <c:v>1999.0</c:v>
                </c:pt>
                <c:pt idx="5">
                  <c:v>2000.0</c:v>
                </c:pt>
                <c:pt idx="6">
                  <c:v>2001.0</c:v>
                </c:pt>
                <c:pt idx="7">
                  <c:v>2002.0</c:v>
                </c:pt>
                <c:pt idx="8">
                  <c:v>2003.0</c:v>
                </c:pt>
                <c:pt idx="9">
                  <c:v>2004.0</c:v>
                </c:pt>
                <c:pt idx="10">
                  <c:v>2005.0</c:v>
                </c:pt>
                <c:pt idx="11">
                  <c:v>2006.0</c:v>
                </c:pt>
                <c:pt idx="12">
                  <c:v>2007.0</c:v>
                </c:pt>
                <c:pt idx="13">
                  <c:v>2008.0</c:v>
                </c:pt>
                <c:pt idx="14">
                  <c:v>2009.0</c:v>
                </c:pt>
                <c:pt idx="15">
                  <c:v>2010.0</c:v>
                </c:pt>
                <c:pt idx="16">
                  <c:v>2011.0</c:v>
                </c:pt>
                <c:pt idx="17">
                  <c:v>2012.0</c:v>
                </c:pt>
                <c:pt idx="18">
                  <c:v>2013.0</c:v>
                </c:pt>
                <c:pt idx="19">
                  <c:v>2014.0</c:v>
                </c:pt>
                <c:pt idx="20">
                  <c:v>2015.0</c:v>
                </c:pt>
                <c:pt idx="21">
                  <c:v>2016.0</c:v>
                </c:pt>
                <c:pt idx="22">
                  <c:v>2017.0</c:v>
                </c:pt>
                <c:pt idx="23">
                  <c:v>2018.0</c:v>
                </c:pt>
                <c:pt idx="24">
                  <c:v>2019.0</c:v>
                </c:pt>
                <c:pt idx="25">
                  <c:v>2020.0</c:v>
                </c:pt>
                <c:pt idx="26">
                  <c:v>2021.0</c:v>
                </c:pt>
                <c:pt idx="27">
                  <c:v>2022.0</c:v>
                </c:pt>
                <c:pt idx="28">
                  <c:v>2023.0</c:v>
                </c:pt>
                <c:pt idx="29">
                  <c:v>2024.0</c:v>
                </c:pt>
              </c:numCache>
            </c:numRef>
          </c:cat>
          <c:val>
            <c:numRef>
              <c:f>Summary!$D$17:$D$46</c:f>
              <c:numCache>
                <c:formatCode>\$#,##0</c:formatCode>
                <c:ptCount val="30"/>
                <c:pt idx="10">
                  <c:v>3776.76</c:v>
                </c:pt>
                <c:pt idx="11">
                  <c:v>8541.550404</c:v>
                </c:pt>
                <c:pt idx="12">
                  <c:v>12808.1215211796</c:v>
                </c:pt>
                <c:pt idx="13">
                  <c:v>10337.1165583431</c:v>
                </c:pt>
                <c:pt idx="14">
                  <c:v>17624.8775996807</c:v>
                </c:pt>
                <c:pt idx="15">
                  <c:v>24421.3441661927</c:v>
                </c:pt>
                <c:pt idx="16">
                  <c:v>28612.5945280993</c:v>
                </c:pt>
                <c:pt idx="17">
                  <c:v>37366.6096525952</c:v>
                </c:pt>
                <c:pt idx="18">
                  <c:v>54235.6945190708</c:v>
                </c:pt>
                <c:pt idx="19">
                  <c:v>65753.4010987316</c:v>
                </c:pt>
                <c:pt idx="20">
                  <c:v>70310.4780338941</c:v>
                </c:pt>
                <c:pt idx="21">
                  <c:v>82750.1712067478</c:v>
                </c:pt>
                <c:pt idx="22">
                  <c:v>105200.413581181</c:v>
                </c:pt>
                <c:pt idx="23">
                  <c:v>104034.955466325</c:v>
                </c:pt>
                <c:pt idx="24">
                  <c:v>141529.202942671</c:v>
                </c:pt>
                <c:pt idx="25">
                  <c:v>171832.976284122</c:v>
                </c:pt>
                <c:pt idx="26">
                  <c:v>225799.783775294</c:v>
                </c:pt>
                <c:pt idx="27">
                  <c:v>187855.482933588</c:v>
                </c:pt>
                <c:pt idx="28">
                  <c:v>241789.129396829</c:v>
                </c:pt>
                <c:pt idx="29">
                  <c:v>306785.489571915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smooth val="0"/>
        <c:axId val="94399300"/>
        <c:axId val="30913072"/>
      </c:lineChart>
      <c:catAx>
        <c:axId val="943993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30913072"/>
        <c:crosses val="autoZero"/>
        <c:auto val="1"/>
        <c:lblAlgn val="ctr"/>
        <c:lblOffset val="100"/>
        <c:noMultiLvlLbl val="0"/>
      </c:catAx>
      <c:valAx>
        <c:axId val="30913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94399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4</xdr:row>
      <xdr:rowOff>151804</xdr:rowOff>
    </xdr:from>
    <xdr:to>
      <xdr:col>18</xdr:col>
      <xdr:colOff>299123</xdr:colOff>
      <xdr:row>27</xdr:row>
      <xdr:rowOff>88552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D41"/>
  <sheetViews>
    <sheetView tabSelected="1" workbookViewId="0" showGridLines="0">
      <selection activeCell="A1" sqref="A1"/>
    </sheetView>
  </sheetViews>
  <sheetFormatPr defaultRowHeight="15.0" zeroHeight="1"/>
  <cols>
    <col min="1" max="1" customWidth="1" width="3.0" style="0"/>
    <col min="2" max="2" customWidth="1" width="32.0" style="0"/>
    <col min="3" max="3" customWidth="1" width="18.0" style="0"/>
  </cols>
  <sheetData>
    <row r="2" spans="8:8" ht="17.35">
      <c r="B2" s="1" t="s">
        <v>0</v>
      </c>
    </row>
    <row r="3" spans="8:8" ht="15.0">
      <c r="B3" s="2" t="s">
        <v>1</v>
      </c>
    </row>
    <row r="5" spans="8:8" ht="15.0">
      <c r="B5" s="3" t="s">
        <v>2</v>
      </c>
      <c r="C5" s="3" t="s">
        <v>3</v>
      </c>
    </row>
    <row r="6" spans="8:8" ht="15.0">
      <c r="B6" s="4">
        <v>1995.0</v>
      </c>
      <c r="C6" s="5">
        <v>0.3758</v>
      </c>
    </row>
    <row r="7" spans="8:8" ht="15.0">
      <c r="B7" s="4">
        <v>1996.0</v>
      </c>
      <c r="C7" s="5">
        <v>0.2296</v>
      </c>
    </row>
    <row r="8" spans="8:8" ht="15.0">
      <c r="B8" s="4">
        <v>1997.0</v>
      </c>
      <c r="C8" s="5">
        <v>0.3336</v>
      </c>
    </row>
    <row r="9" spans="8:8" ht="15.0">
      <c r="B9" s="4">
        <v>1998.0</v>
      </c>
      <c r="C9" s="5">
        <v>0.2858</v>
      </c>
    </row>
    <row r="10" spans="8:8" ht="15.0">
      <c r="B10" s="4">
        <v>1999.0</v>
      </c>
      <c r="C10" s="5">
        <v>0.2104</v>
      </c>
    </row>
    <row r="11" spans="8:8" ht="15.0">
      <c r="B11" s="4">
        <v>2000.0</v>
      </c>
      <c r="C11" s="5">
        <v>-0.091</v>
      </c>
    </row>
    <row r="12" spans="8:8" ht="15.0">
      <c r="B12" s="4">
        <v>2001.0</v>
      </c>
      <c r="C12" s="5">
        <v>-0.1189</v>
      </c>
    </row>
    <row r="13" spans="8:8" ht="15.0">
      <c r="B13" s="4">
        <v>2002.0</v>
      </c>
      <c r="C13" s="5">
        <v>-0.221</v>
      </c>
    </row>
    <row r="14" spans="8:8" ht="15.0">
      <c r="B14" s="4">
        <v>2003.0</v>
      </c>
      <c r="C14" s="5">
        <v>0.2868</v>
      </c>
    </row>
    <row r="15" spans="8:8" ht="15.0">
      <c r="B15" s="4">
        <v>2004.0</v>
      </c>
      <c r="C15" s="5">
        <v>0.1088</v>
      </c>
    </row>
    <row r="16" spans="8:8" ht="15.0">
      <c r="B16" s="4">
        <v>2005.0</v>
      </c>
      <c r="C16" s="5">
        <v>0.0491</v>
      </c>
    </row>
    <row r="17" spans="8:8" ht="15.0">
      <c r="B17" s="4">
        <v>2006.0</v>
      </c>
      <c r="C17" s="5">
        <v>0.1579</v>
      </c>
    </row>
    <row r="18" spans="8:8" ht="15.0">
      <c r="B18" s="4">
        <v>2007.0</v>
      </c>
      <c r="C18" s="5">
        <v>0.0549</v>
      </c>
    </row>
    <row r="19" spans="8:8" ht="15.0">
      <c r="B19" s="4">
        <v>2008.0</v>
      </c>
      <c r="C19" s="5">
        <v>-0.37</v>
      </c>
    </row>
    <row r="20" spans="8:8" ht="15.0">
      <c r="B20" s="4">
        <v>2009.0</v>
      </c>
      <c r="C20" s="5">
        <v>0.2646</v>
      </c>
    </row>
    <row r="21" spans="8:8" ht="15.0">
      <c r="B21" s="4">
        <v>2010.0</v>
      </c>
      <c r="C21" s="5">
        <v>0.1506</v>
      </c>
    </row>
    <row r="22" spans="8:8" ht="15.0">
      <c r="B22" s="4">
        <v>2011.0</v>
      </c>
      <c r="C22" s="5">
        <v>0.0211</v>
      </c>
    </row>
    <row r="23" spans="8:8" ht="15.0">
      <c r="B23" s="4">
        <v>2012.0</v>
      </c>
      <c r="C23" s="5">
        <v>0.16</v>
      </c>
    </row>
    <row r="24" spans="8:8" ht="15.0">
      <c r="B24" s="4">
        <v>2013.0</v>
      </c>
      <c r="C24" s="5">
        <v>0.3239</v>
      </c>
    </row>
    <row r="25" spans="8:8" ht="15.0">
      <c r="B25" s="4">
        <v>2014.0</v>
      </c>
      <c r="C25" s="5">
        <v>0.1369</v>
      </c>
    </row>
    <row r="26" spans="8:8" ht="15.0">
      <c r="B26" s="4">
        <v>2015.0</v>
      </c>
      <c r="C26" s="5">
        <v>0.0138</v>
      </c>
    </row>
    <row r="27" spans="8:8" ht="15.0">
      <c r="B27" s="4">
        <v>2016.0</v>
      </c>
      <c r="C27" s="5">
        <v>0.1196</v>
      </c>
    </row>
    <row r="28" spans="8:8" ht="15.0">
      <c r="B28" s="4">
        <v>2017.0</v>
      </c>
      <c r="C28" s="5">
        <v>0.2183</v>
      </c>
    </row>
    <row r="29" spans="8:8" ht="15.0">
      <c r="B29" s="4">
        <v>2018.0</v>
      </c>
      <c r="C29" s="5">
        <v>-0.0438</v>
      </c>
    </row>
    <row r="30" spans="8:8" ht="15.0">
      <c r="B30" s="4">
        <v>2019.0</v>
      </c>
      <c r="C30" s="5">
        <v>0.3149</v>
      </c>
    </row>
    <row r="31" spans="8:8" ht="15.0">
      <c r="B31" s="4">
        <v>2020.0</v>
      </c>
      <c r="C31" s="5">
        <v>0.184</v>
      </c>
    </row>
    <row r="32" spans="8:8" ht="15.0">
      <c r="B32" s="4">
        <v>2021.0</v>
      </c>
      <c r="C32" s="5">
        <v>0.2871</v>
      </c>
    </row>
    <row r="33" spans="8:8" ht="15.0">
      <c r="B33" s="4">
        <v>2022.0</v>
      </c>
      <c r="C33" s="5">
        <v>-0.1811</v>
      </c>
    </row>
    <row r="34" spans="8:8" ht="15.0">
      <c r="B34" s="4">
        <v>2023.0</v>
      </c>
      <c r="C34" s="5">
        <v>0.2629</v>
      </c>
    </row>
    <row r="35" spans="8:8" ht="15.0">
      <c r="B35" s="4">
        <v>2024.0</v>
      </c>
      <c r="C35" s="5">
        <v>0.2502</v>
      </c>
    </row>
    <row r="37" spans="8:8" ht="15.0">
      <c r="B37" s="6" t="s">
        <v>4</v>
      </c>
      <c r="C37" s="7">
        <f>AVERAGE(C6:C35)</f>
        <v>0.12582666666666667</v>
      </c>
    </row>
    <row r="38" spans="8:8" ht="15.0">
      <c r="B38" s="6" t="s">
        <v>5</v>
      </c>
      <c r="C38" s="7">
        <f>MAX(C6:C35)</f>
        <v>0.3758</v>
      </c>
    </row>
    <row r="39" spans="8:8" ht="15.0">
      <c r="B39" s="6" t="s">
        <v>6</v>
      </c>
      <c r="C39" s="7">
        <f>MIN(C6:C35)</f>
        <v>-0.37</v>
      </c>
    </row>
    <row r="41" spans="8:8" ht="15.0">
      <c r="B41" s="2" t="s">
        <v>7</v>
      </c>
    </row>
  </sheetData>
  <pageMargins left="0.75" right="0.75" top="1.0" bottom="1.0" header="0.511811023622047" footer="0.511811023622047"/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dimension ref="B1:G41"/>
  <sheetViews>
    <sheetView workbookViewId="0" showGridLines="0">
      <selection activeCell="A1" sqref="A1"/>
    </sheetView>
  </sheetViews>
  <sheetFormatPr defaultRowHeight="15.0" zeroHeight="1"/>
  <cols>
    <col min="1" max="1" customWidth="1" width="3.0" style="0"/>
    <col min="2" max="2" customWidth="1" width="26.0" style="0"/>
    <col min="3" max="3" customWidth="1" width="15.0" style="0"/>
    <col min="4" max="4" customWidth="1" width="14.0" style="0"/>
    <col min="5" max="6" customWidth="1" width="16.0" style="0"/>
  </cols>
  <sheetData>
    <row r="2" spans="8:8" ht="17.35">
      <c r="B2" s="1" t="s">
        <v>8</v>
      </c>
    </row>
    <row r="3" spans="8:8" ht="15.0">
      <c r="B3" s="2" t="s">
        <v>9</v>
      </c>
    </row>
    <row r="5" spans="8:8" ht="15.0">
      <c r="B5" s="6" t="s">
        <v>10</v>
      </c>
      <c r="C5" s="8">
        <v>2400.0</v>
      </c>
    </row>
    <row r="7" spans="8:8" ht="15.0">
      <c r="B7" s="3" t="s">
        <v>2</v>
      </c>
      <c r="C7" s="3" t="s">
        <v>11</v>
      </c>
      <c r="D7" s="3" t="s">
        <v>12</v>
      </c>
      <c r="E7" s="3" t="s">
        <v>13</v>
      </c>
      <c r="F7" s="3" t="s">
        <v>14</v>
      </c>
    </row>
    <row r="8" spans="8:8" ht="15.0">
      <c r="B8" s="9">
        <f>'SP500 Returns'!B6</f>
        <v>1995.0</v>
      </c>
      <c r="C8" s="10">
        <f>'SP500 Returns'!C6</f>
        <v>0.3758</v>
      </c>
      <c r="D8" s="11">
        <f>$C$5</f>
        <v>2400.0</v>
      </c>
      <c r="E8" s="12">
        <v>0.0</v>
      </c>
      <c r="F8" s="11">
        <f>(E8+D8)*(1+C8)</f>
        <v>3301.9199999999996</v>
      </c>
    </row>
    <row r="9" spans="8:8" ht="15.0">
      <c r="B9" s="9">
        <f>'SP500 Returns'!B7</f>
        <v>1996.0</v>
      </c>
      <c r="C9" s="10">
        <f>'SP500 Returns'!C7</f>
        <v>0.2296</v>
      </c>
      <c r="D9" s="11">
        <f>$C$5</f>
        <v>2400.0</v>
      </c>
      <c r="E9" s="11">
        <f>F8</f>
        <v>3301.9199999999996</v>
      </c>
      <c r="F9" s="11">
        <f>(E9+D9)*(1+C9)</f>
        <v>7011.080832000001</v>
      </c>
    </row>
    <row r="10" spans="8:8" ht="15.0">
      <c r="B10" s="9">
        <f>'SP500 Returns'!B8</f>
        <v>1997.0</v>
      </c>
      <c r="C10" s="10">
        <f>'SP500 Returns'!C8</f>
        <v>0.3336</v>
      </c>
      <c r="D10" s="11">
        <f>$C$5</f>
        <v>2400.0</v>
      </c>
      <c r="E10" s="11">
        <f>F9</f>
        <v>7011.080832000001</v>
      </c>
      <c r="F10" s="11">
        <f>(E10+D10)*(1+C10)</f>
        <v>12550.617397555201</v>
      </c>
    </row>
    <row r="11" spans="8:8" ht="15.0">
      <c r="B11" s="9">
        <f>'SP500 Returns'!B9</f>
        <v>1998.0</v>
      </c>
      <c r="C11" s="10">
        <f>'SP500 Returns'!C9</f>
        <v>0.2858</v>
      </c>
      <c r="D11" s="11">
        <f>$C$5</f>
        <v>2400.0</v>
      </c>
      <c r="E11" s="11">
        <f>F10</f>
        <v>12550.617397555201</v>
      </c>
      <c r="F11" s="11">
        <f>(E11+D11)*(1+C11)</f>
        <v>19223.50384977648</v>
      </c>
    </row>
    <row r="12" spans="8:8" ht="15.0">
      <c r="B12" s="9">
        <f>'SP500 Returns'!B10</f>
        <v>1999.0</v>
      </c>
      <c r="C12" s="10">
        <f>'SP500 Returns'!C10</f>
        <v>0.2104</v>
      </c>
      <c r="D12" s="11">
        <f>$C$5</f>
        <v>2400.0</v>
      </c>
      <c r="E12" s="11">
        <f>F11</f>
        <v>19223.50384977648</v>
      </c>
      <c r="F12" s="11">
        <f>(E12+D12)*(1+C12)</f>
        <v>26173.08905976945</v>
      </c>
    </row>
    <row r="13" spans="8:8" ht="15.0">
      <c r="B13" s="9">
        <f>'SP500 Returns'!B11</f>
        <v>2000.0</v>
      </c>
      <c r="C13" s="10">
        <f>'SP500 Returns'!C11</f>
        <v>-0.091</v>
      </c>
      <c r="D13" s="11">
        <f>$C$5</f>
        <v>2400.0</v>
      </c>
      <c r="E13" s="11">
        <f>F12</f>
        <v>26173.08905976945</v>
      </c>
      <c r="F13" s="11">
        <f>(E13+D13)*(1+C13)</f>
        <v>25972.93795533043</v>
      </c>
    </row>
    <row r="14" spans="8:8" ht="15.0">
      <c r="B14" s="9">
        <f>'SP500 Returns'!B12</f>
        <v>2001.0</v>
      </c>
      <c r="C14" s="10">
        <f>'SP500 Returns'!C12</f>
        <v>-0.1189</v>
      </c>
      <c r="D14" s="11">
        <f>$C$5</f>
        <v>2400.0</v>
      </c>
      <c r="E14" s="11">
        <f>F13</f>
        <v>25972.93795533043</v>
      </c>
      <c r="F14" s="11">
        <f>(E14+D14)*(1+C14)</f>
        <v>24999.395632441643</v>
      </c>
    </row>
    <row r="15" spans="8:8" ht="15.0">
      <c r="B15" s="9">
        <f>'SP500 Returns'!B13</f>
        <v>2002.0</v>
      </c>
      <c r="C15" s="10">
        <f>'SP500 Returns'!C13</f>
        <v>-0.221</v>
      </c>
      <c r="D15" s="11">
        <f>$C$5</f>
        <v>2400.0</v>
      </c>
      <c r="E15" s="11">
        <f>F14</f>
        <v>24999.395632441643</v>
      </c>
      <c r="F15" s="11">
        <f>(E15+D15)*(1+C15)</f>
        <v>21344.129197672042</v>
      </c>
    </row>
    <row r="16" spans="8:8" ht="15.0">
      <c r="B16" s="9">
        <f>'SP500 Returns'!B14</f>
        <v>2003.0</v>
      </c>
      <c r="C16" s="10">
        <f>'SP500 Returns'!C14</f>
        <v>0.2868</v>
      </c>
      <c r="D16" s="11">
        <f>$C$5</f>
        <v>2400.0</v>
      </c>
      <c r="E16" s="11">
        <f>F15</f>
        <v>21344.129197672042</v>
      </c>
      <c r="F16" s="11">
        <f>(E16+D16)*(1+C16)</f>
        <v>30553.94545156438</v>
      </c>
    </row>
    <row r="17" spans="8:8" ht="15.0">
      <c r="B17" s="9">
        <f>'SP500 Returns'!B15</f>
        <v>2004.0</v>
      </c>
      <c r="C17" s="10">
        <f>'SP500 Returns'!C15</f>
        <v>0.1088</v>
      </c>
      <c r="D17" s="11">
        <f>$C$5</f>
        <v>2400.0</v>
      </c>
      <c r="E17" s="11">
        <f>F16</f>
        <v>30553.94545156438</v>
      </c>
      <c r="F17" s="11">
        <f>(E17+D17)*(1+C17)</f>
        <v>36539.33471669459</v>
      </c>
    </row>
    <row r="18" spans="8:8" ht="15.0">
      <c r="B18" s="9">
        <f>'SP500 Returns'!B16</f>
        <v>2005.0</v>
      </c>
      <c r="C18" s="10">
        <f>'SP500 Returns'!C16</f>
        <v>0.0491</v>
      </c>
      <c r="D18" s="11">
        <f>$C$5</f>
        <v>2400.0</v>
      </c>
      <c r="E18" s="11">
        <f>F17</f>
        <v>36539.33471669459</v>
      </c>
      <c r="F18" s="11">
        <f>(E18+D18)*(1+C18)</f>
        <v>40851.25605128429</v>
      </c>
    </row>
    <row r="19" spans="8:8" ht="15.0">
      <c r="B19" s="9">
        <f>'SP500 Returns'!B17</f>
        <v>2006.0</v>
      </c>
      <c r="C19" s="10">
        <f>'SP500 Returns'!C17</f>
        <v>0.1579</v>
      </c>
      <c r="D19" s="11">
        <f>$C$5</f>
        <v>2400.0</v>
      </c>
      <c r="E19" s="11">
        <f>F18</f>
        <v>40851.25605128429</v>
      </c>
      <c r="F19" s="11">
        <f>(E19+D19)*(1+C19)</f>
        <v>50080.62938178208</v>
      </c>
    </row>
    <row r="20" spans="8:8" ht="15.0">
      <c r="B20" s="9">
        <f>'SP500 Returns'!B18</f>
        <v>2007.0</v>
      </c>
      <c r="C20" s="10">
        <f>'SP500 Returns'!C18</f>
        <v>0.0549</v>
      </c>
      <c r="D20" s="11">
        <f>$C$5</f>
        <v>2400.0</v>
      </c>
      <c r="E20" s="11">
        <f>F19</f>
        <v>50080.62938178208</v>
      </c>
      <c r="F20" s="11">
        <f>(E20+D20)*(1+C20)</f>
        <v>55361.81593484191</v>
      </c>
    </row>
    <row r="21" spans="8:8" ht="15.0">
      <c r="B21" s="9">
        <f>'SP500 Returns'!B19</f>
        <v>2008.0</v>
      </c>
      <c r="C21" s="10">
        <f>'SP500 Returns'!C19</f>
        <v>-0.37</v>
      </c>
      <c r="D21" s="11">
        <f>$C$5</f>
        <v>2400.0</v>
      </c>
      <c r="E21" s="11">
        <f>F20</f>
        <v>55361.81593484191</v>
      </c>
      <c r="F21" s="11">
        <f>(E21+D21)*(1+C21)</f>
        <v>36389.9440389504</v>
      </c>
    </row>
    <row r="22" spans="8:8" ht="15.0">
      <c r="B22" s="9">
        <f>'SP500 Returns'!B20</f>
        <v>2009.0</v>
      </c>
      <c r="C22" s="10">
        <f>'SP500 Returns'!C20</f>
        <v>0.2646</v>
      </c>
      <c r="D22" s="11">
        <f>$C$5</f>
        <v>2400.0</v>
      </c>
      <c r="E22" s="11">
        <f>F21</f>
        <v>36389.9440389504</v>
      </c>
      <c r="F22" s="11">
        <f>(E22+D22)*(1+C22)</f>
        <v>49053.763231656674</v>
      </c>
    </row>
    <row r="23" spans="8:8" ht="15.0">
      <c r="B23" s="9">
        <f>'SP500 Returns'!B21</f>
        <v>2010.0</v>
      </c>
      <c r="C23" s="10">
        <f>'SP500 Returns'!C21</f>
        <v>0.1506</v>
      </c>
      <c r="D23" s="11">
        <f>$C$5</f>
        <v>2400.0</v>
      </c>
      <c r="E23" s="11">
        <f>F22</f>
        <v>49053.763231656674</v>
      </c>
      <c r="F23" s="11">
        <f>(E23+D23)*(1+C23)</f>
        <v>59202.69997434417</v>
      </c>
    </row>
    <row r="24" spans="8:8" ht="15.0">
      <c r="B24" s="9">
        <f>'SP500 Returns'!B22</f>
        <v>2011.0</v>
      </c>
      <c r="C24" s="10">
        <f>'SP500 Returns'!C22</f>
        <v>0.0211</v>
      </c>
      <c r="D24" s="11">
        <f>$C$5</f>
        <v>2400.0</v>
      </c>
      <c r="E24" s="11">
        <f>F23</f>
        <v>59202.69997434417</v>
      </c>
      <c r="F24" s="11">
        <f>(E24+D24)*(1+C24)</f>
        <v>62902.516943802824</v>
      </c>
    </row>
    <row r="25" spans="8:8" ht="15.0">
      <c r="B25" s="9">
        <f>'SP500 Returns'!B23</f>
        <v>2012.0</v>
      </c>
      <c r="C25" s="10">
        <f>'SP500 Returns'!C23</f>
        <v>0.16</v>
      </c>
      <c r="D25" s="11">
        <f>$C$5</f>
        <v>2400.0</v>
      </c>
      <c r="E25" s="11">
        <f>F24</f>
        <v>62902.516943802824</v>
      </c>
      <c r="F25" s="11">
        <f>(E25+D25)*(1+C25)</f>
        <v>75750.91965481127</v>
      </c>
    </row>
    <row r="26" spans="8:8" ht="15.0">
      <c r="B26" s="9">
        <f>'SP500 Returns'!B24</f>
        <v>2013.0</v>
      </c>
      <c r="C26" s="10">
        <f>'SP500 Returns'!C24</f>
        <v>0.3239</v>
      </c>
      <c r="D26" s="11">
        <f>$C$5</f>
        <v>2400.0</v>
      </c>
      <c r="E26" s="11">
        <f>F25</f>
        <v>75750.91965481127</v>
      </c>
      <c r="F26" s="11">
        <f>(E26+D26)*(1+C26)</f>
        <v>103464.00253100465</v>
      </c>
    </row>
    <row r="27" spans="8:8" ht="15.0">
      <c r="B27" s="9">
        <f>'SP500 Returns'!B25</f>
        <v>2014.0</v>
      </c>
      <c r="C27" s="10">
        <f>'SP500 Returns'!C25</f>
        <v>0.1369</v>
      </c>
      <c r="D27" s="11">
        <f>$C$5</f>
        <v>2400.0</v>
      </c>
      <c r="E27" s="11">
        <f>F26</f>
        <v>103464.00253100465</v>
      </c>
      <c r="F27" s="11">
        <f>(E27+D27)*(1+C27)</f>
        <v>120356.78447749918</v>
      </c>
    </row>
    <row r="28" spans="8:8" ht="15.0">
      <c r="B28" s="9">
        <f>'SP500 Returns'!B26</f>
        <v>2015.0</v>
      </c>
      <c r="C28" s="10">
        <f>'SP500 Returns'!C26</f>
        <v>0.0138</v>
      </c>
      <c r="D28" s="11">
        <f>$C$5</f>
        <v>2400.0</v>
      </c>
      <c r="E28" s="11">
        <f>F27</f>
        <v>120356.78447749918</v>
      </c>
      <c r="F28" s="11">
        <f>(E28+D28)*(1+C28)</f>
        <v>124450.82810328867</v>
      </c>
    </row>
    <row r="29" spans="8:8" ht="15.0">
      <c r="B29" s="9">
        <f>'SP500 Returns'!B27</f>
        <v>2016.0</v>
      </c>
      <c r="C29" s="10">
        <f>'SP500 Returns'!C27</f>
        <v>0.1196</v>
      </c>
      <c r="D29" s="11">
        <f>$C$5</f>
        <v>2400.0</v>
      </c>
      <c r="E29" s="11">
        <f>F28</f>
        <v>124450.82810328867</v>
      </c>
      <c r="F29" s="11">
        <f>(E29+D29)*(1+C29)</f>
        <v>142022.187144442</v>
      </c>
    </row>
    <row r="30" spans="8:8" ht="15.0">
      <c r="B30" s="9">
        <f>'SP500 Returns'!B28</f>
        <v>2017.0</v>
      </c>
      <c r="C30" s="10">
        <f>'SP500 Returns'!C28</f>
        <v>0.2183</v>
      </c>
      <c r="D30" s="11">
        <f>$C$5</f>
        <v>2400.0</v>
      </c>
      <c r="E30" s="11">
        <f>F29</f>
        <v>142022.187144442</v>
      </c>
      <c r="F30" s="11">
        <f>(E30+D30)*(1+C30)</f>
        <v>175949.55059807366</v>
      </c>
    </row>
    <row r="31" spans="8:8" ht="15.0">
      <c r="B31" s="9">
        <f>'SP500 Returns'!B29</f>
        <v>2018.0</v>
      </c>
      <c r="C31" s="10">
        <f>'SP500 Returns'!C29</f>
        <v>-0.0438</v>
      </c>
      <c r="D31" s="11">
        <f>$C$5</f>
        <v>2400.0</v>
      </c>
      <c r="E31" s="11">
        <f>F30</f>
        <v>175949.55059807366</v>
      </c>
      <c r="F31" s="11">
        <f>(E31+D31)*(1+C31)</f>
        <v>170537.84028187805</v>
      </c>
    </row>
    <row r="32" spans="8:8" ht="15.0">
      <c r="B32" s="9">
        <f>'SP500 Returns'!B30</f>
        <v>2019.0</v>
      </c>
      <c r="C32" s="10">
        <f>'SP500 Returns'!C30</f>
        <v>0.3149</v>
      </c>
      <c r="D32" s="11">
        <f>$C$5</f>
        <v>2400.0</v>
      </c>
      <c r="E32" s="11">
        <f>F31</f>
        <v>170537.84028187805</v>
      </c>
      <c r="F32" s="11">
        <f>(E32+D32)*(1+C32)</f>
        <v>227395.96618664142</v>
      </c>
    </row>
    <row r="33" spans="8:8" ht="15.0">
      <c r="B33" s="9">
        <f>'SP500 Returns'!B31</f>
        <v>2020.0</v>
      </c>
      <c r="C33" s="10">
        <f>'SP500 Returns'!C31</f>
        <v>0.184</v>
      </c>
      <c r="D33" s="11">
        <f>$C$5</f>
        <v>2400.0</v>
      </c>
      <c r="E33" s="11">
        <f>F32</f>
        <v>227395.96618664142</v>
      </c>
      <c r="F33" s="11">
        <f>(E33+D33)*(1+C33)</f>
        <v>272078.42396498343</v>
      </c>
    </row>
    <row r="34" spans="8:8" ht="15.0">
      <c r="B34" s="9">
        <f>'SP500 Returns'!B32</f>
        <v>2021.0</v>
      </c>
      <c r="C34" s="10">
        <f>'SP500 Returns'!C32</f>
        <v>0.2871</v>
      </c>
      <c r="D34" s="11">
        <f>$C$5</f>
        <v>2400.0</v>
      </c>
      <c r="E34" s="11">
        <f>F33</f>
        <v>272078.42396498343</v>
      </c>
      <c r="F34" s="11">
        <f>(E34+D34)*(1+C34)</f>
        <v>353281.17948533024</v>
      </c>
    </row>
    <row r="35" spans="8:8" ht="15.0">
      <c r="B35" s="9">
        <f>'SP500 Returns'!B33</f>
        <v>2022.0</v>
      </c>
      <c r="C35" s="10">
        <f>'SP500 Returns'!C33</f>
        <v>-0.1811</v>
      </c>
      <c r="D35" s="11">
        <f>$C$5</f>
        <v>2400.0</v>
      </c>
      <c r="E35" s="11">
        <f>F34</f>
        <v>353281.17948533024</v>
      </c>
      <c r="F35" s="11">
        <f>(E35+D35)*(1+C35)</f>
        <v>291267.3178805369</v>
      </c>
    </row>
    <row r="36" spans="8:8" ht="15.0">
      <c r="B36" s="9">
        <f>'SP500 Returns'!B34</f>
        <v>2023.0</v>
      </c>
      <c r="C36" s="10">
        <f>'SP500 Returns'!C34</f>
        <v>0.2629</v>
      </c>
      <c r="D36" s="11">
        <f>$C$5</f>
        <v>2400.0</v>
      </c>
      <c r="E36" s="11">
        <f>F35</f>
        <v>291267.3178805369</v>
      </c>
      <c r="F36" s="11">
        <f>(E36+D36)*(1+C36)</f>
        <v>370872.45575133007</v>
      </c>
    </row>
    <row r="37" spans="8:8" ht="15.0">
      <c r="B37" s="9">
        <f>'SP500 Returns'!B35</f>
        <v>2024.0</v>
      </c>
      <c r="C37" s="10">
        <f>'SP500 Returns'!C35</f>
        <v>0.2502</v>
      </c>
      <c r="D37" s="11">
        <f>$C$5</f>
        <v>2400.0</v>
      </c>
      <c r="E37" s="11">
        <f>F36</f>
        <v>370872.45575133007</v>
      </c>
      <c r="F37" s="11">
        <f>(E37+D37)*(1+C37)</f>
        <v>466665.2241803128</v>
      </c>
    </row>
    <row r="39" spans="8:8" ht="15.0">
      <c r="B39" s="6" t="s">
        <v>15</v>
      </c>
      <c r="C39" s="13">
        <f>SUM(D8:D37)</f>
        <v>72000.0</v>
      </c>
    </row>
    <row r="40" spans="8:8" ht="15.0">
      <c r="B40" s="6" t="s">
        <v>16</v>
      </c>
      <c r="C40" s="13">
        <f>F37</f>
        <v>466665.2241803128</v>
      </c>
    </row>
    <row r="41" spans="8:8" ht="15.0">
      <c r="B41" s="6" t="s">
        <v>17</v>
      </c>
      <c r="C41" s="13">
        <f>C40-C39</f>
        <v>394665.224180313</v>
      </c>
    </row>
  </sheetData>
  <pageMargins left="0.75" right="0.75" top="1.0" bottom="1.0" header="0.511811023622047" footer="0.511811023622047"/>
  <pageSetup paperSize="9"/>
</worksheet>
</file>

<file path=xl/worksheets/sheet3.xml><?xml version="1.0" encoding="utf-8"?>
<worksheet xmlns:r="http://schemas.openxmlformats.org/officeDocument/2006/relationships" xmlns="http://schemas.openxmlformats.org/spreadsheetml/2006/main">
  <dimension ref="B1:G31"/>
  <sheetViews>
    <sheetView workbookViewId="0" showGridLines="0">
      <selection activeCell="A1" sqref="A1"/>
    </sheetView>
  </sheetViews>
  <sheetFormatPr defaultRowHeight="15.0" zeroHeight="1"/>
  <cols>
    <col min="1" max="1" customWidth="1" width="3.0" style="0"/>
    <col min="2" max="2" customWidth="1" width="26.0" style="0"/>
    <col min="3" max="3" customWidth="1" width="15.0" style="0"/>
    <col min="4" max="4" customWidth="1" width="14.0" style="0"/>
    <col min="5" max="6" customWidth="1" width="16.0" style="0"/>
  </cols>
  <sheetData>
    <row r="2" spans="8:8" ht="17.35">
      <c r="B2" s="1" t="s">
        <v>18</v>
      </c>
    </row>
    <row r="3" spans="8:8" ht="15.0">
      <c r="B3" s="2" t="s">
        <v>19</v>
      </c>
    </row>
    <row r="5" spans="8:8" ht="15.0">
      <c r="B5" s="6" t="s">
        <v>10</v>
      </c>
      <c r="C5" s="8">
        <v>3600.0</v>
      </c>
    </row>
    <row r="7" spans="8:8" ht="15.0">
      <c r="B7" s="3" t="s">
        <v>2</v>
      </c>
      <c r="C7" s="3" t="s">
        <v>11</v>
      </c>
      <c r="D7" s="3" t="s">
        <v>12</v>
      </c>
      <c r="E7" s="3" t="s">
        <v>13</v>
      </c>
      <c r="F7" s="3" t="s">
        <v>14</v>
      </c>
    </row>
    <row r="8" spans="8:8" ht="15.0">
      <c r="B8" s="9">
        <f>'SP500 Returns'!B16</f>
        <v>2005.0</v>
      </c>
      <c r="C8" s="10">
        <f>'SP500 Returns'!C16</f>
        <v>0.0491</v>
      </c>
      <c r="D8" s="11">
        <f>$C$5</f>
        <v>3600.0</v>
      </c>
      <c r="E8" s="12">
        <v>0.0</v>
      </c>
      <c r="F8" s="11">
        <f>(E8+D8)*(1+C8)</f>
        <v>3776.7599999999998</v>
      </c>
    </row>
    <row r="9" spans="8:8" ht="15.0">
      <c r="B9" s="9">
        <f>'SP500 Returns'!B17</f>
        <v>2006.0</v>
      </c>
      <c r="C9" s="10">
        <f>'SP500 Returns'!C17</f>
        <v>0.1579</v>
      </c>
      <c r="D9" s="11">
        <f>$C$5</f>
        <v>3600.0</v>
      </c>
      <c r="E9" s="11">
        <f>F8</f>
        <v>3776.7599999999998</v>
      </c>
      <c r="F9" s="11">
        <f>(E9+D9)*(1+C9)</f>
        <v>8541.550404</v>
      </c>
    </row>
    <row r="10" spans="8:8" ht="15.0">
      <c r="B10" s="9">
        <f>'SP500 Returns'!B18</f>
        <v>2007.0</v>
      </c>
      <c r="C10" s="10">
        <f>'SP500 Returns'!C18</f>
        <v>0.0549</v>
      </c>
      <c r="D10" s="11">
        <f>$C$5</f>
        <v>3600.0</v>
      </c>
      <c r="E10" s="11">
        <f>F9</f>
        <v>8541.550404</v>
      </c>
      <c r="F10" s="11">
        <f>(E10+D10)*(1+C10)</f>
        <v>12808.121521179599</v>
      </c>
    </row>
    <row r="11" spans="8:8" ht="15.0">
      <c r="B11" s="9">
        <f>'SP500 Returns'!B19</f>
        <v>2008.0</v>
      </c>
      <c r="C11" s="10">
        <f>'SP500 Returns'!C19</f>
        <v>-0.37</v>
      </c>
      <c r="D11" s="11">
        <f>$C$5</f>
        <v>3600.0</v>
      </c>
      <c r="E11" s="11">
        <f>F10</f>
        <v>12808.121521179599</v>
      </c>
      <c r="F11" s="11">
        <f>(E11+D11)*(1+C11)</f>
        <v>10337.116558343148</v>
      </c>
    </row>
    <row r="12" spans="8:8" ht="15.0">
      <c r="B12" s="9">
        <f>'SP500 Returns'!B20</f>
        <v>2009.0</v>
      </c>
      <c r="C12" s="10">
        <f>'SP500 Returns'!C20</f>
        <v>0.2646</v>
      </c>
      <c r="D12" s="11">
        <f>$C$5</f>
        <v>3600.0</v>
      </c>
      <c r="E12" s="11">
        <f>F11</f>
        <v>10337.116558343148</v>
      </c>
      <c r="F12" s="11">
        <f>(E12+D12)*(1+C12)</f>
        <v>17624.877599680745</v>
      </c>
    </row>
    <row r="13" spans="8:8" ht="15.0">
      <c r="B13" s="9">
        <f>'SP500 Returns'!B21</f>
        <v>2010.0</v>
      </c>
      <c r="C13" s="10">
        <f>'SP500 Returns'!C21</f>
        <v>0.1506</v>
      </c>
      <c r="D13" s="11">
        <f>$C$5</f>
        <v>3600.0</v>
      </c>
      <c r="E13" s="11">
        <f>F12</f>
        <v>17624.877599680745</v>
      </c>
      <c r="F13" s="11">
        <f>(E13+D13)*(1+C13)</f>
        <v>24421.344166192666</v>
      </c>
    </row>
    <row r="14" spans="8:8" ht="15.0">
      <c r="B14" s="9">
        <f>'SP500 Returns'!B22</f>
        <v>2011.0</v>
      </c>
      <c r="C14" s="10">
        <f>'SP500 Returns'!C22</f>
        <v>0.0211</v>
      </c>
      <c r="D14" s="11">
        <f>$C$5</f>
        <v>3600.0</v>
      </c>
      <c r="E14" s="11">
        <f>F13</f>
        <v>24421.344166192666</v>
      </c>
      <c r="F14" s="11">
        <f>(E14+D14)*(1+C14)</f>
        <v>28612.59452809933</v>
      </c>
    </row>
    <row r="15" spans="8:8" ht="15.0">
      <c r="B15" s="9">
        <f>'SP500 Returns'!B23</f>
        <v>2012.0</v>
      </c>
      <c r="C15" s="10">
        <f>'SP500 Returns'!C23</f>
        <v>0.16</v>
      </c>
      <c r="D15" s="11">
        <f>$C$5</f>
        <v>3600.0</v>
      </c>
      <c r="E15" s="11">
        <f>F14</f>
        <v>28612.59452809933</v>
      </c>
      <c r="F15" s="11">
        <f>(E15+D15)*(1+C15)</f>
        <v>37366.609652595216</v>
      </c>
    </row>
    <row r="16" spans="8:8" ht="15.0">
      <c r="B16" s="9">
        <f>'SP500 Returns'!B24</f>
        <v>2013.0</v>
      </c>
      <c r="C16" s="10">
        <f>'SP500 Returns'!C24</f>
        <v>0.3239</v>
      </c>
      <c r="D16" s="11">
        <f>$C$5</f>
        <v>3600.0</v>
      </c>
      <c r="E16" s="11">
        <f>F15</f>
        <v>37366.609652595216</v>
      </c>
      <c r="F16" s="11">
        <f>(E16+D16)*(1+C16)</f>
        <v>54235.69451907081</v>
      </c>
    </row>
    <row r="17" spans="8:8" ht="15.0">
      <c r="B17" s="9">
        <f>'SP500 Returns'!B25</f>
        <v>2014.0</v>
      </c>
      <c r="C17" s="10">
        <f>'SP500 Returns'!C25</f>
        <v>0.1369</v>
      </c>
      <c r="D17" s="11">
        <f>$C$5</f>
        <v>3600.0</v>
      </c>
      <c r="E17" s="11">
        <f>F16</f>
        <v>54235.69451907081</v>
      </c>
      <c r="F17" s="11">
        <f>(E17+D17)*(1+C17)</f>
        <v>65753.4010987316</v>
      </c>
    </row>
    <row r="18" spans="8:8" ht="15.0">
      <c r="B18" s="9">
        <f>'SP500 Returns'!B26</f>
        <v>2015.0</v>
      </c>
      <c r="C18" s="10">
        <f>'SP500 Returns'!C26</f>
        <v>0.0138</v>
      </c>
      <c r="D18" s="11">
        <f>$C$5</f>
        <v>3600.0</v>
      </c>
      <c r="E18" s="11">
        <f>F17</f>
        <v>65753.4010987316</v>
      </c>
      <c r="F18" s="11">
        <f>(E18+D18)*(1+C18)</f>
        <v>70310.47803389409</v>
      </c>
    </row>
    <row r="19" spans="8:8" ht="15.0">
      <c r="B19" s="9">
        <f>'SP500 Returns'!B27</f>
        <v>2016.0</v>
      </c>
      <c r="C19" s="10">
        <f>'SP500 Returns'!C27</f>
        <v>0.1196</v>
      </c>
      <c r="D19" s="11">
        <f>$C$5</f>
        <v>3600.0</v>
      </c>
      <c r="E19" s="11">
        <f>F18</f>
        <v>70310.47803389409</v>
      </c>
      <c r="F19" s="11">
        <f>(E19+D19)*(1+C19)</f>
        <v>82750.17120674782</v>
      </c>
    </row>
    <row r="20" spans="8:8" ht="15.0">
      <c r="B20" s="9">
        <f>'SP500 Returns'!B28</f>
        <v>2017.0</v>
      </c>
      <c r="C20" s="10">
        <f>'SP500 Returns'!C28</f>
        <v>0.2183</v>
      </c>
      <c r="D20" s="11">
        <f>$C$5</f>
        <v>3600.0</v>
      </c>
      <c r="E20" s="11">
        <f>F19</f>
        <v>82750.17120674782</v>
      </c>
      <c r="F20" s="11">
        <f>(E20+D20)*(1+C20)</f>
        <v>105200.41358118087</v>
      </c>
    </row>
    <row r="21" spans="8:8" ht="15.0">
      <c r="B21" s="9">
        <f>'SP500 Returns'!B29</f>
        <v>2018.0</v>
      </c>
      <c r="C21" s="10">
        <f>'SP500 Returns'!C29</f>
        <v>-0.0438</v>
      </c>
      <c r="D21" s="11">
        <f>$C$5</f>
        <v>3600.0</v>
      </c>
      <c r="E21" s="11">
        <f>F20</f>
        <v>105200.41358118087</v>
      </c>
      <c r="F21" s="11">
        <f>(E21+D21)*(1+C21)</f>
        <v>104034.95546632515</v>
      </c>
    </row>
    <row r="22" spans="8:8" ht="15.0">
      <c r="B22" s="9">
        <f>'SP500 Returns'!B30</f>
        <v>2019.0</v>
      </c>
      <c r="C22" s="10">
        <f>'SP500 Returns'!C30</f>
        <v>0.3149</v>
      </c>
      <c r="D22" s="11">
        <f>$C$5</f>
        <v>3600.0</v>
      </c>
      <c r="E22" s="11">
        <f>F21</f>
        <v>104034.95546632515</v>
      </c>
      <c r="F22" s="11">
        <f>(E22+D22)*(1+C22)</f>
        <v>141529.20294267093</v>
      </c>
    </row>
    <row r="23" spans="8:8" ht="15.0">
      <c r="B23" s="9">
        <f>'SP500 Returns'!B31</f>
        <v>2020.0</v>
      </c>
      <c r="C23" s="10">
        <f>'SP500 Returns'!C31</f>
        <v>0.184</v>
      </c>
      <c r="D23" s="11">
        <f>$C$5</f>
        <v>3600.0</v>
      </c>
      <c r="E23" s="11">
        <f>F22</f>
        <v>141529.20294267093</v>
      </c>
      <c r="F23" s="11">
        <f>(E23+D23)*(1+C23)</f>
        <v>171832.9762841224</v>
      </c>
    </row>
    <row r="24" spans="8:8" ht="15.0">
      <c r="B24" s="9">
        <f>'SP500 Returns'!B32</f>
        <v>2021.0</v>
      </c>
      <c r="C24" s="10">
        <f>'SP500 Returns'!C32</f>
        <v>0.2871</v>
      </c>
      <c r="D24" s="11">
        <f>$C$5</f>
        <v>3600.0</v>
      </c>
      <c r="E24" s="11">
        <f>F23</f>
        <v>171832.9762841224</v>
      </c>
      <c r="F24" s="11">
        <f>(E24+D24)*(1+C24)</f>
        <v>225799.78377529394</v>
      </c>
    </row>
    <row r="25" spans="8:8" ht="15.0">
      <c r="B25" s="9">
        <f>'SP500 Returns'!B33</f>
        <v>2022.0</v>
      </c>
      <c r="C25" s="10">
        <f>'SP500 Returns'!C33</f>
        <v>-0.1811</v>
      </c>
      <c r="D25" s="11">
        <f>$C$5</f>
        <v>3600.0</v>
      </c>
      <c r="E25" s="11">
        <f>F24</f>
        <v>225799.78377529394</v>
      </c>
      <c r="F25" s="11">
        <f>(E25+D25)*(1+C25)</f>
        <v>187855.4829335882</v>
      </c>
    </row>
    <row r="26" spans="8:8" ht="15.0">
      <c r="B26" s="9">
        <f>'SP500 Returns'!B34</f>
        <v>2023.0</v>
      </c>
      <c r="C26" s="10">
        <f>'SP500 Returns'!C34</f>
        <v>0.2629</v>
      </c>
      <c r="D26" s="11">
        <f>$C$5</f>
        <v>3600.0</v>
      </c>
      <c r="E26" s="11">
        <f>F25</f>
        <v>187855.4829335882</v>
      </c>
      <c r="F26" s="11">
        <f>(E26+D26)*(1+C26)</f>
        <v>241789.1293968286</v>
      </c>
    </row>
    <row r="27" spans="8:8" ht="15.0">
      <c r="B27" s="9">
        <f>'SP500 Returns'!B35</f>
        <v>2024.0</v>
      </c>
      <c r="C27" s="10">
        <f>'SP500 Returns'!C35</f>
        <v>0.2502</v>
      </c>
      <c r="D27" s="11">
        <f>$C$5</f>
        <v>3600.0</v>
      </c>
      <c r="E27" s="11">
        <f>F26</f>
        <v>241789.1293968286</v>
      </c>
      <c r="F27" s="11">
        <f>(E27+D27)*(1+C27)</f>
        <v>306785.4895719151</v>
      </c>
    </row>
    <row r="29" spans="8:8" ht="15.0">
      <c r="B29" s="6" t="s">
        <v>15</v>
      </c>
      <c r="C29" s="13">
        <f>SUM(D8:D27)</f>
        <v>72000.0</v>
      </c>
    </row>
    <row r="30" spans="8:8" ht="15.0">
      <c r="B30" s="6" t="s">
        <v>16</v>
      </c>
      <c r="C30" s="13">
        <f>F27</f>
        <v>306785.4895719151</v>
      </c>
    </row>
    <row r="31" spans="8:8" ht="15.0">
      <c r="B31" s="6" t="s">
        <v>17</v>
      </c>
      <c r="C31" s="13">
        <f>C30-C29</f>
        <v>234785.489571915</v>
      </c>
    </row>
  </sheetData>
  <pageMargins left="0.75" right="0.75" top="1.0" bottom="1.0" header="0.511811023622047" footer="0.511811023622047"/>
  <pageSetup paperSize="9"/>
</worksheet>
</file>

<file path=xl/worksheets/sheet4.xml><?xml version="1.0" encoding="utf-8"?>
<worksheet xmlns:r="http://schemas.openxmlformats.org/officeDocument/2006/relationships" xmlns="http://schemas.openxmlformats.org/spreadsheetml/2006/main">
  <dimension ref="B1:G46"/>
  <sheetViews>
    <sheetView workbookViewId="0" showGridLines="0">
      <selection activeCell="A1" sqref="A1"/>
    </sheetView>
  </sheetViews>
  <sheetFormatPr defaultRowHeight="15.0" zeroHeight="1"/>
  <cols>
    <col min="1" max="1" customWidth="1" width="3.0" style="0"/>
    <col min="2" max="2" customWidth="1" width="28.0" style="0"/>
    <col min="3" max="4" customWidth="1" width="20.0" style="0"/>
    <col min="5" max="6" customWidth="1" width="4.0" style="0"/>
  </cols>
  <sheetData>
    <row r="2" spans="8:8" ht="17.35">
      <c r="B2" s="1" t="s">
        <v>20</v>
      </c>
    </row>
    <row r="3" spans="8:8" ht="30.0" customHeight="1">
      <c r="B3" s="14" t="s">
        <v>21</v>
      </c>
      <c r="C3" s="14"/>
      <c r="D3" s="14"/>
      <c r="E3" s="14"/>
      <c r="F3" s="14"/>
    </row>
    <row r="5" spans="8:8" ht="15.0">
      <c r="B5" s="3"/>
      <c r="C5" s="3" t="s">
        <v>22</v>
      </c>
      <c r="D5" s="3" t="s">
        <v>23</v>
      </c>
    </row>
    <row r="6" spans="8:8" ht="15.0">
      <c r="B6" s="15" t="s">
        <v>24</v>
      </c>
      <c r="C6" s="16">
        <f>1995</f>
        <v>1995.0</v>
      </c>
      <c r="D6" s="16">
        <f>2005</f>
        <v>2005.0</v>
      </c>
    </row>
    <row r="7" spans="8:8" ht="15.0">
      <c r="B7" s="15" t="s">
        <v>25</v>
      </c>
      <c r="C7" s="16">
        <f>30</f>
        <v>30.0</v>
      </c>
      <c r="D7" s="16">
        <f>20</f>
        <v>20.0</v>
      </c>
    </row>
    <row r="8" spans="8:8" ht="15.0">
      <c r="B8" s="15" t="s">
        <v>26</v>
      </c>
      <c r="C8" s="17">
        <f>'Investor A - Early Start'!C5/12</f>
        <v>200.0</v>
      </c>
      <c r="D8" s="17">
        <f>'Investor B - Late Start'!C5/12</f>
        <v>300.0</v>
      </c>
    </row>
    <row r="9" spans="8:8" ht="15.0">
      <c r="B9" s="15" t="s">
        <v>27</v>
      </c>
      <c r="C9" s="17">
        <f>'Investor A - Early Start'!C39</f>
        <v>72000.0</v>
      </c>
      <c r="D9" s="17">
        <f>'Investor B - Late Start'!C29</f>
        <v>72000.0</v>
      </c>
    </row>
    <row r="10" spans="8:8" ht="15.0">
      <c r="B10" s="15" t="s">
        <v>28</v>
      </c>
      <c r="C10" s="17">
        <f>'Investor A - Early Start'!C40</f>
        <v>466665.2241803128</v>
      </c>
      <c r="D10" s="17">
        <f>'Investor B - Late Start'!C30</f>
        <v>306785.4895719151</v>
      </c>
    </row>
    <row r="11" spans="8:8" ht="15.0">
      <c r="B11" s="15" t="s">
        <v>29</v>
      </c>
      <c r="C11" s="17">
        <f>'Investor A - Early Start'!C41</f>
        <v>394665.224180313</v>
      </c>
      <c r="D11" s="17">
        <f>'Investor B - Late Start'!C31</f>
        <v>234785.489571915</v>
      </c>
    </row>
    <row r="13" spans="8:8" ht="15.0">
      <c r="B13" s="6" t="s">
        <v>30</v>
      </c>
      <c r="C13" s="13">
        <f>C10-D10</f>
        <v>159879.734608398</v>
      </c>
    </row>
    <row r="16" spans="8:8" ht="15.0">
      <c r="B16" s="6" t="s">
        <v>2</v>
      </c>
      <c r="C16" s="6" t="s">
        <v>31</v>
      </c>
      <c r="D16" s="6" t="s">
        <v>32</v>
      </c>
    </row>
    <row r="17" spans="8:8" ht="15.0">
      <c r="B17" s="18">
        <v>1995.0</v>
      </c>
      <c r="C17" s="19">
        <f>'Investor A - Early Start'!F8</f>
        <v>3301.9199999999996</v>
      </c>
    </row>
    <row r="18" spans="8:8" ht="15.0">
      <c r="B18" s="18">
        <v>1996.0</v>
      </c>
      <c r="C18" s="19">
        <f>'Investor A - Early Start'!F9</f>
        <v>7011.080832000001</v>
      </c>
    </row>
    <row r="19" spans="8:8" ht="15.0">
      <c r="B19" s="18">
        <v>1997.0</v>
      </c>
      <c r="C19" s="19">
        <f>'Investor A - Early Start'!F10</f>
        <v>12550.617397555201</v>
      </c>
    </row>
    <row r="20" spans="8:8" ht="15.0">
      <c r="B20" s="18">
        <v>1998.0</v>
      </c>
      <c r="C20" s="19">
        <f>'Investor A - Early Start'!F11</f>
        <v>19223.50384977648</v>
      </c>
    </row>
    <row r="21" spans="8:8" ht="15.0">
      <c r="B21" s="18">
        <v>1999.0</v>
      </c>
      <c r="C21" s="19">
        <f>'Investor A - Early Start'!F12</f>
        <v>26173.08905976945</v>
      </c>
    </row>
    <row r="22" spans="8:8" ht="15.0">
      <c r="B22" s="18">
        <v>2000.0</v>
      </c>
      <c r="C22" s="19">
        <f>'Investor A - Early Start'!F13</f>
        <v>25972.93795533043</v>
      </c>
    </row>
    <row r="23" spans="8:8" ht="15.0">
      <c r="B23" s="18">
        <v>2001.0</v>
      </c>
      <c r="C23" s="19">
        <f>'Investor A - Early Start'!F14</f>
        <v>24999.395632441643</v>
      </c>
    </row>
    <row r="24" spans="8:8" ht="15.0">
      <c r="B24" s="18">
        <v>2002.0</v>
      </c>
      <c r="C24" s="19">
        <f>'Investor A - Early Start'!F15</f>
        <v>21344.129197672042</v>
      </c>
    </row>
    <row r="25" spans="8:8" ht="15.0">
      <c r="B25" s="18">
        <v>2003.0</v>
      </c>
      <c r="C25" s="19">
        <f>'Investor A - Early Start'!F16</f>
        <v>30553.94545156438</v>
      </c>
    </row>
    <row r="26" spans="8:8" ht="15.0">
      <c r="B26" s="18">
        <v>2004.0</v>
      </c>
      <c r="C26" s="19">
        <f>'Investor A - Early Start'!F17</f>
        <v>36539.33471669459</v>
      </c>
    </row>
    <row r="27" spans="8:8" ht="15.0">
      <c r="B27" s="18">
        <v>2005.0</v>
      </c>
      <c r="C27" s="19">
        <f>'Investor A - Early Start'!F18</f>
        <v>40851.25605128429</v>
      </c>
      <c r="D27" s="19">
        <f>'Investor B - Late Start'!F8</f>
        <v>3776.7599999999998</v>
      </c>
    </row>
    <row r="28" spans="8:8" ht="15.0">
      <c r="B28" s="18">
        <v>2006.0</v>
      </c>
      <c r="C28" s="19">
        <f>'Investor A - Early Start'!F19</f>
        <v>50080.62938178208</v>
      </c>
      <c r="D28" s="19">
        <f>'Investor B - Late Start'!F9</f>
        <v>8541.550404</v>
      </c>
    </row>
    <row r="29" spans="8:8" ht="15.0">
      <c r="B29" s="18">
        <v>2007.0</v>
      </c>
      <c r="C29" s="19">
        <f>'Investor A - Early Start'!F20</f>
        <v>55361.81593484191</v>
      </c>
      <c r="D29" s="19">
        <f>'Investor B - Late Start'!F10</f>
        <v>12808.121521179599</v>
      </c>
    </row>
    <row r="30" spans="8:8" ht="15.0">
      <c r="B30" s="18">
        <v>2008.0</v>
      </c>
      <c r="C30" s="19">
        <f>'Investor A - Early Start'!F21</f>
        <v>36389.9440389504</v>
      </c>
      <c r="D30" s="19">
        <f>'Investor B - Late Start'!F11</f>
        <v>10337.116558343148</v>
      </c>
    </row>
    <row r="31" spans="8:8" ht="15.0">
      <c r="B31" s="18">
        <v>2009.0</v>
      </c>
      <c r="C31" s="19">
        <f>'Investor A - Early Start'!F22</f>
        <v>49053.763231656674</v>
      </c>
      <c r="D31" s="19">
        <f>'Investor B - Late Start'!F12</f>
        <v>17624.877599680745</v>
      </c>
    </row>
    <row r="32" spans="8:8" ht="15.0">
      <c r="B32" s="18">
        <v>2010.0</v>
      </c>
      <c r="C32" s="19">
        <f>'Investor A - Early Start'!F23</f>
        <v>59202.69997434417</v>
      </c>
      <c r="D32" s="19">
        <f>'Investor B - Late Start'!F13</f>
        <v>24421.344166192666</v>
      </c>
    </row>
    <row r="33" spans="8:8" ht="15.0">
      <c r="B33" s="18">
        <v>2011.0</v>
      </c>
      <c r="C33" s="19">
        <f>'Investor A - Early Start'!F24</f>
        <v>62902.516943802824</v>
      </c>
      <c r="D33" s="19">
        <f>'Investor B - Late Start'!F14</f>
        <v>28612.59452809933</v>
      </c>
    </row>
    <row r="34" spans="8:8" ht="15.0">
      <c r="B34" s="18">
        <v>2012.0</v>
      </c>
      <c r="C34" s="19">
        <f>'Investor A - Early Start'!F25</f>
        <v>75750.91965481127</v>
      </c>
      <c r="D34" s="19">
        <f>'Investor B - Late Start'!F15</f>
        <v>37366.609652595216</v>
      </c>
    </row>
    <row r="35" spans="8:8" ht="15.0">
      <c r="B35" s="18">
        <v>2013.0</v>
      </c>
      <c r="C35" s="19">
        <f>'Investor A - Early Start'!F26</f>
        <v>103464.00253100465</v>
      </c>
      <c r="D35" s="19">
        <f>'Investor B - Late Start'!F16</f>
        <v>54235.69451907081</v>
      </c>
    </row>
    <row r="36" spans="8:8" ht="15.0">
      <c r="B36" s="18">
        <v>2014.0</v>
      </c>
      <c r="C36" s="19">
        <f>'Investor A - Early Start'!F27</f>
        <v>120356.78447749918</v>
      </c>
      <c r="D36" s="19">
        <f>'Investor B - Late Start'!F17</f>
        <v>65753.4010987316</v>
      </c>
    </row>
    <row r="37" spans="8:8" ht="15.0">
      <c r="B37" s="18">
        <v>2015.0</v>
      </c>
      <c r="C37" s="19">
        <f>'Investor A - Early Start'!F28</f>
        <v>124450.82810328867</v>
      </c>
      <c r="D37" s="19">
        <f>'Investor B - Late Start'!F18</f>
        <v>70310.47803389409</v>
      </c>
    </row>
    <row r="38" spans="8:8" ht="15.0">
      <c r="B38" s="18">
        <v>2016.0</v>
      </c>
      <c r="C38" s="19">
        <f>'Investor A - Early Start'!F29</f>
        <v>142022.187144442</v>
      </c>
      <c r="D38" s="19">
        <f>'Investor B - Late Start'!F19</f>
        <v>82750.17120674782</v>
      </c>
    </row>
    <row r="39" spans="8:8" ht="15.0">
      <c r="B39" s="18">
        <v>2017.0</v>
      </c>
      <c r="C39" s="19">
        <f>'Investor A - Early Start'!F30</f>
        <v>175949.55059807366</v>
      </c>
      <c r="D39" s="19">
        <f>'Investor B - Late Start'!F20</f>
        <v>105200.41358118087</v>
      </c>
    </row>
    <row r="40" spans="8:8" ht="15.0">
      <c r="B40" s="18">
        <v>2018.0</v>
      </c>
      <c r="C40" s="19">
        <f>'Investor A - Early Start'!F31</f>
        <v>170537.84028187805</v>
      </c>
      <c r="D40" s="19">
        <f>'Investor B - Late Start'!F21</f>
        <v>104034.95546632515</v>
      </c>
    </row>
    <row r="41" spans="8:8" ht="15.0">
      <c r="B41" s="18">
        <v>2019.0</v>
      </c>
      <c r="C41" s="19">
        <f>'Investor A - Early Start'!F32</f>
        <v>227395.96618664142</v>
      </c>
      <c r="D41" s="19">
        <f>'Investor B - Late Start'!F22</f>
        <v>141529.20294267093</v>
      </c>
    </row>
    <row r="42" spans="8:8" ht="15.0">
      <c r="B42" s="18">
        <v>2020.0</v>
      </c>
      <c r="C42" s="19">
        <f>'Investor A - Early Start'!F33</f>
        <v>272078.42396498343</v>
      </c>
      <c r="D42" s="19">
        <f>'Investor B - Late Start'!F23</f>
        <v>171832.9762841224</v>
      </c>
    </row>
    <row r="43" spans="8:8" ht="15.0">
      <c r="B43" s="18">
        <v>2021.0</v>
      </c>
      <c r="C43" s="19">
        <f>'Investor A - Early Start'!F34</f>
        <v>353281.17948533024</v>
      </c>
      <c r="D43" s="19">
        <f>'Investor B - Late Start'!F24</f>
        <v>225799.78377529394</v>
      </c>
    </row>
    <row r="44" spans="8:8" ht="15.0">
      <c r="B44" s="18">
        <v>2022.0</v>
      </c>
      <c r="C44" s="19">
        <f>'Investor A - Early Start'!F35</f>
        <v>291267.3178805369</v>
      </c>
      <c r="D44" s="19">
        <f>'Investor B - Late Start'!F25</f>
        <v>187855.4829335882</v>
      </c>
    </row>
    <row r="45" spans="8:8" ht="15.0">
      <c r="B45" s="18">
        <v>2023.0</v>
      </c>
      <c r="C45" s="19">
        <f>'Investor A - Early Start'!F36</f>
        <v>370872.45575133007</v>
      </c>
      <c r="D45" s="19">
        <f>'Investor B - Late Start'!F26</f>
        <v>241789.1293968286</v>
      </c>
    </row>
    <row r="46" spans="8:8" ht="15.0">
      <c r="B46" s="18">
        <v>2024.0</v>
      </c>
      <c r="C46" s="19">
        <f>'Investor A - Early Start'!F37</f>
        <v>466665.2241803128</v>
      </c>
      <c r="D46" s="19">
        <f>'Investor B - Late Start'!F27</f>
        <v>306785.4895719151</v>
      </c>
    </row>
  </sheetData>
  <mergeCells count="1">
    <mergeCell ref="B3:F3"/>
  </mergeCells>
  <pageMargins left="0.75" right="0.75" top="1.0" bottom="1.0" header="0.511811023622047" footer="0.511811023622047"/>
  <pageSetup paperSize="9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2026-08-13T16:36:51Z</dcterms:created>
  <dcterms:modified xsi:type="dcterms:W3CDTF">2026-08-27T12:51:33Z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4c7de74b442649c4b23538e7e5749127</vt:lpwstr>
  </property>
</Properties>
</file>